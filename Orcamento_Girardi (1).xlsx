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<sst xmlns="http://schemas.openxmlformats.org/spreadsheetml/2006/main" count="90" uniqueCount="70">
  <si>
    <t xml:space="preserve">GIRARDI CASA &amp; CONSTRUÇÃO — ORÇAMENTO DE VENDA</t>
  </si>
  <si>
    <t xml:space="preserve">DADOS DA EMPRESA</t>
  </si>
  <si>
    <t xml:space="preserve">Endereço</t>
  </si>
  <si>
    <t xml:space="preserve">Av. Nereu Ramos, 138 E - Centro, Chapecó - SC, 89814-247</t>
  </si>
  <si>
    <t xml:space="preserve">CNPJ</t>
  </si>
  <si>
    <t xml:space="preserve">83.298.349/0001-89 — Insc. Estadual: 250168162</t>
  </si>
  <si>
    <t xml:space="preserve">E-mail</t>
  </si>
  <si>
    <t xml:space="preserve">girardicentro.drive@gmail.com</t>
  </si>
  <si>
    <t xml:space="preserve">Contato</t>
  </si>
  <si>
    <t xml:space="preserve">(49) 3322-2509</t>
  </si>
  <si>
    <t xml:space="preserve">DADOS DO ORÇAMENTO</t>
  </si>
  <si>
    <t xml:space="preserve">Data</t>
  </si>
  <si>
    <t xml:space="preserve">12/02/2026</t>
  </si>
  <si>
    <t xml:space="preserve">Especificador</t>
  </si>
  <si>
    <t xml:space="preserve">Arq. Maria Santos</t>
  </si>
  <si>
    <t xml:space="preserve">Consultor</t>
  </si>
  <si>
    <t xml:space="preserve">Carlos Oliveira</t>
  </si>
  <si>
    <t xml:space="preserve">INFORMAÇÕES DO CLIENTE</t>
  </si>
  <si>
    <t xml:space="preserve">Nome</t>
  </si>
  <si>
    <t xml:space="preserve">João Silva</t>
  </si>
  <si>
    <t xml:space="preserve">Telefone</t>
  </si>
  <si>
    <t xml:space="preserve">(49) 99999-8888</t>
  </si>
  <si>
    <t xml:space="preserve">joao.silva@construtorabc.com.br</t>
  </si>
  <si>
    <t xml:space="preserve">Razão Social</t>
  </si>
  <si>
    <t xml:space="preserve">Construtora ABC Ltda</t>
  </si>
  <si>
    <t xml:space="preserve">12.345.678/0001-90</t>
  </si>
  <si>
    <t xml:space="preserve">Insc. Estadual</t>
  </si>
  <si>
    <t xml:space="preserve">123.456.789</t>
  </si>
  <si>
    <t xml:space="preserve">Rua das Flores, 123</t>
  </si>
  <si>
    <t xml:space="preserve">Bairro</t>
  </si>
  <si>
    <t xml:space="preserve">Centro</t>
  </si>
  <si>
    <t xml:space="preserve">Cidade</t>
  </si>
  <si>
    <t xml:space="preserve">Chapecó</t>
  </si>
  <si>
    <t xml:space="preserve">UF / CEP</t>
  </si>
  <si>
    <t xml:space="preserve">SC / 89801-000</t>
  </si>
  <si>
    <t xml:space="preserve">#</t>
  </si>
  <si>
    <t xml:space="preserve">QTDE</t>
  </si>
  <si>
    <t xml:space="preserve">UN</t>
  </si>
  <si>
    <t xml:space="preserve">PRODUTO</t>
  </si>
  <si>
    <t xml:space="preserve">CÓDIGO</t>
  </si>
  <si>
    <t xml:space="preserve">MARCA</t>
  </si>
  <si>
    <t xml:space="preserve">DESC. PRODUTO</t>
  </si>
  <si>
    <t xml:space="preserve">DESC. SEÇÃO</t>
  </si>
  <si>
    <t xml:space="preserve">VALOR UNIT (R$)</t>
  </si>
  <si>
    <t xml:space="preserve">SUB TOTAL (R$)</t>
  </si>
  <si>
    <t xml:space="preserve">IMAGEM</t>
  </si>
  <si>
    <t xml:space="preserve">▌  SEÇÃO: BANHEIRO SOCIAL</t>
  </si>
  <si>
    <t xml:space="preserve">Torneira Gourmet Flexível</t>
  </si>
  <si>
    <t xml:space="preserve">123</t>
  </si>
  <si>
    <t xml:space="preserve">Deca</t>
  </si>
  <si>
    <t xml:space="preserve">10%</t>
  </si>
  <si>
    <t xml:space="preserve">5%</t>
  </si>
  <si>
    <t xml:space="preserve">← inserir imagem</t>
  </si>
  <si>
    <t xml:space="preserve">Papeleira Deca Polo</t>
  </si>
  <si>
    <t xml:space="preserve">789</t>
  </si>
  <si>
    <t xml:space="preserve">Desconto da Seção (Banheiro Social): 5%</t>
  </si>
  <si>
    <t xml:space="preserve">Subtotal:</t>
  </si>
  <si>
    <t xml:space="preserve">▌  SEÇÃO: COZINHA GOURMET</t>
  </si>
  <si>
    <t xml:space="preserve">Misturador Monocomando Deca</t>
  </si>
  <si>
    <t xml:space="preserve">456</t>
  </si>
  <si>
    <t xml:space="preserve">15%</t>
  </si>
  <si>
    <t xml:space="preserve">8%</t>
  </si>
  <si>
    <t xml:space="preserve">Desconto da Seção (Cozinha Gourmet): 8%</t>
  </si>
  <si>
    <t xml:space="preserve">▌  SEÇÃO: LAVABO</t>
  </si>
  <si>
    <t xml:space="preserve">—</t>
  </si>
  <si>
    <t xml:space="preserve">Desconto da Seção (Lavabo): —</t>
  </si>
  <si>
    <t xml:space="preserve">TOTAL A PRAZO</t>
  </si>
  <si>
    <t xml:space="preserve">DESCONTO À VISTA (10%)</t>
  </si>
  <si>
    <t xml:space="preserve">TOTAL À VISTA</t>
  </si>
  <si>
    <t xml:space="preserve">* Pagamento à prazo: até 10x sem juros no cartão   |   * Sujeito a alterações de disponibilidade de estoque   |   * Validade: 07 dias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</si>
</sst>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color rgb="FF1D6A3A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63F5A"/>
      </patternFill>
    </fill>
    <fill>
      <patternFill patternType="solid">
        <fgColor rgb="FFF2F2F2"/>
        <bgColor rgb="FFEBF3FB"/>
      </patternFill>
    </fill>
    <fill>
      <patternFill patternType="solid">
        <fgColor rgb="FF2E5DA6"/>
        <bgColor rgb="FF3366FF"/>
      </patternFill>
    </fill>
    <fill>
      <patternFill patternType="solid">
        <fgColor rgb="FFD6E4F0"/>
        <bgColor rgb="FFD8F3DC"/>
      </patternFill>
    </fill>
    <fill>
      <patternFill patternType="solid">
        <fgColor rgb="FFFFFFFF"/>
        <bgColor rgb="FFF2F2F2"/>
      </patternFill>
    </fill>
    <fill>
      <patternFill patternType="solid">
        <fgColor rgb="FF263F5A"/>
        <bgColor rgb="FF1F3864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8F3DC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D6A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2E5DA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8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263F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7"/>
    <col collapsed="false" customWidth="true" hidden="false" outlineLevel="0" max="4" min="4" style="0" width="3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10" min="7" style="0" width="16"/>
    <col collapsed="false" customWidth="true" hidden="false" outlineLevel="0" max="11" min="11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7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8" hidden="false" customHeight="true" outlineLevel="0" collapsed="false">
      <c r="A4" s="4" t="s">
        <v>2</v>
      </c>
      <c r="B4" s="5" t="s">
        <v>3</v>
      </c>
      <c r="C4" s="5"/>
      <c r="D4" s="5"/>
      <c r="E4" s="5"/>
      <c r="F4" s="5"/>
      <c r="G4" s="5"/>
      <c r="H4" s="5"/>
      <c r="I4" s="5"/>
      <c r="J4" s="5"/>
      <c r="K4" s="5"/>
    </row>
    <row r="5" customFormat="false" ht="18" hidden="false" customHeight="true" outlineLevel="0" collapsed="false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  <c r="J5" s="5"/>
      <c r="K5" s="5"/>
    </row>
    <row r="6" customFormat="false" ht="18" hidden="false" customHeight="true" outlineLevel="0" collapsed="false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  <c r="J6" s="5"/>
      <c r="K6" s="5"/>
    </row>
    <row r="7" customFormat="false" ht="18" hidden="false" customHeight="true" outlineLevel="0" collapsed="false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  <c r="J7" s="5"/>
      <c r="K7" s="5"/>
    </row>
    <row r="8" customFormat="false" ht="7.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21.75" hidden="false" customHeight="true" outlineLevel="0" collapsed="false">
      <c r="A9" s="3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8" hidden="false" customHeight="true" outlineLevel="0" collapsed="false">
      <c r="A10" s="4" t="s">
        <v>11</v>
      </c>
      <c r="B10" s="5" t="s">
        <v>12</v>
      </c>
      <c r="C10" s="5"/>
      <c r="D10" s="5"/>
      <c r="E10" s="6" t="s">
        <v>13</v>
      </c>
      <c r="F10" s="6"/>
      <c r="G10" s="5" t="s">
        <v>14</v>
      </c>
      <c r="H10" s="5"/>
      <c r="I10" s="5"/>
      <c r="J10" s="5"/>
      <c r="K10" s="5"/>
    </row>
    <row r="11" customFormat="false" ht="18" hidden="false" customHeight="true" outlineLevel="0" collapsed="false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  <c r="J11" s="5"/>
      <c r="K11" s="5"/>
    </row>
    <row r="12" customFormat="false" ht="7.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21.75" hidden="false" customHeight="true" outlineLevel="0" collapsed="false">
      <c r="A13" s="3" t="s">
        <v>17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8" hidden="false" customHeight="true" outlineLevel="0" collapsed="false">
      <c r="A14" s="4" t="s">
        <v>18</v>
      </c>
      <c r="B14" s="5" t="s">
        <v>19</v>
      </c>
      <c r="C14" s="5"/>
      <c r="D14" s="5"/>
      <c r="E14" s="4" t="s">
        <v>20</v>
      </c>
      <c r="F14" s="5" t="s">
        <v>21</v>
      </c>
      <c r="G14" s="5"/>
      <c r="H14" s="5"/>
      <c r="I14" s="5"/>
      <c r="J14" s="5"/>
      <c r="K14" s="5"/>
    </row>
    <row r="15" customFormat="false" ht="18" hidden="false" customHeight="true" outlineLevel="0" collapsed="false">
      <c r="A15" s="4" t="s">
        <v>6</v>
      </c>
      <c r="B15" s="5" t="s">
        <v>22</v>
      </c>
      <c r="C15" s="5"/>
      <c r="D15" s="5"/>
      <c r="E15" s="4" t="s">
        <v>23</v>
      </c>
      <c r="F15" s="5" t="s">
        <v>24</v>
      </c>
      <c r="G15" s="5"/>
      <c r="H15" s="5"/>
      <c r="I15" s="5"/>
      <c r="J15" s="5"/>
      <c r="K15" s="5"/>
    </row>
    <row r="16" customFormat="false" ht="18" hidden="false" customHeight="true" outlineLevel="0" collapsed="false">
      <c r="A16" s="4" t="s">
        <v>4</v>
      </c>
      <c r="B16" s="5" t="s">
        <v>25</v>
      </c>
      <c r="C16" s="5"/>
      <c r="D16" s="5"/>
      <c r="E16" s="4" t="s">
        <v>26</v>
      </c>
      <c r="F16" s="5" t="s">
        <v>27</v>
      </c>
      <c r="G16" s="5"/>
      <c r="H16" s="5"/>
      <c r="I16" s="5"/>
      <c r="J16" s="5"/>
      <c r="K16" s="5"/>
    </row>
    <row r="17" customFormat="false" ht="18" hidden="false" customHeight="true" outlineLevel="0" collapsed="false">
      <c r="A17" s="4" t="s">
        <v>2</v>
      </c>
      <c r="B17" s="5" t="s">
        <v>28</v>
      </c>
      <c r="C17" s="5"/>
      <c r="D17" s="5"/>
      <c r="E17" s="4" t="s">
        <v>29</v>
      </c>
      <c r="F17" s="5" t="s">
        <v>30</v>
      </c>
      <c r="G17" s="5"/>
      <c r="H17" s="5"/>
      <c r="I17" s="5"/>
      <c r="J17" s="5"/>
      <c r="K17" s="5"/>
    </row>
    <row r="18" customFormat="false" ht="18" hidden="false" customHeight="true" outlineLevel="0" collapsed="false">
      <c r="A18" s="4" t="s">
        <v>31</v>
      </c>
      <c r="B18" s="5" t="s">
        <v>32</v>
      </c>
      <c r="C18" s="5"/>
      <c r="D18" s="5"/>
      <c r="E18" s="4" t="s">
        <v>33</v>
      </c>
      <c r="F18" s="5" t="s">
        <v>34</v>
      </c>
      <c r="G18" s="5"/>
      <c r="H18" s="5"/>
      <c r="I18" s="5"/>
      <c r="J18" s="5"/>
      <c r="K18" s="5"/>
    </row>
    <row r="19" customFormat="false" ht="7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customFormat="false" ht="21.75" hidden="false" customHeight="true" outlineLevel="0" collapsed="false">
      <c r="A20" s="7" t="s">
        <v>35</v>
      </c>
      <c r="B20" s="7" t="s">
        <v>36</v>
      </c>
      <c r="C20" s="7" t="s">
        <v>37</v>
      </c>
      <c r="D20" s="7" t="s">
        <v>38</v>
      </c>
      <c r="E20" s="7" t="s">
        <v>39</v>
      </c>
      <c r="F20" s="7" t="s">
        <v>40</v>
      </c>
      <c r="G20" s="7" t="s">
        <v>41</v>
      </c>
      <c r="H20" s="7" t="s">
        <v>42</v>
      </c>
      <c r="I20" s="7" t="s">
        <v>43</v>
      </c>
      <c r="J20" s="7" t="s">
        <v>44</v>
      </c>
      <c r="K20" s="7" t="s">
        <v>45</v>
      </c>
    </row>
    <row r="21" customFormat="false" ht="21.75" hidden="false" customHeight="true" outlineLevel="0" collapsed="false">
      <c r="A21" s="8" t="s">
        <v>46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39.75" hidden="false" customHeight="true" outlineLevel="0" collapsed="false">
      <c r="A22" s="9" t="n">
        <v>1</v>
      </c>
      <c r="B22" s="9" t="n">
        <v>2</v>
      </c>
      <c r="C22" s="9" t="s">
        <v>37</v>
      </c>
      <c r="D22" s="10" t="s">
        <v>47</v>
      </c>
      <c r="E22" s="9" t="s">
        <v>48</v>
      </c>
      <c r="F22" s="10" t="s">
        <v>49</v>
      </c>
      <c r="G22" s="9" t="s">
        <v>50</v>
      </c>
      <c r="H22" s="9" t="s">
        <v>51</v>
      </c>
      <c r="I22" s="11" t="n">
        <v>332.34</v>
      </c>
      <c r="J22" s="11" t="n">
        <f aca="false">B22*I22</f>
        <v>664.68</v>
      </c>
      <c r="K22" s="10" t="s">
        <v>52</v>
      </c>
    </row>
    <row r="23" customFormat="false" ht="39.75" hidden="false" customHeight="true" outlineLevel="0" collapsed="false">
      <c r="A23" s="12" t="n">
        <v>2</v>
      </c>
      <c r="B23" s="12" t="n">
        <v>1</v>
      </c>
      <c r="C23" s="12" t="s">
        <v>37</v>
      </c>
      <c r="D23" s="13" t="s">
        <v>53</v>
      </c>
      <c r="E23" s="12" t="s">
        <v>54</v>
      </c>
      <c r="F23" s="13" t="s">
        <v>49</v>
      </c>
      <c r="G23" s="12" t="s">
        <v>51</v>
      </c>
      <c r="H23" s="12" t="s">
        <v>51</v>
      </c>
      <c r="I23" s="14" t="n">
        <v>746.94</v>
      </c>
      <c r="J23" s="14" t="n">
        <f aca="false">B23*I23</f>
        <v>746.94</v>
      </c>
      <c r="K23" s="13" t="s">
        <v>52</v>
      </c>
    </row>
    <row r="24" customFormat="false" ht="19.5" hidden="false" customHeight="true" outlineLevel="0" collapsed="false">
      <c r="A24" s="15" t="s">
        <v>55</v>
      </c>
      <c r="B24" s="15"/>
      <c r="C24" s="15"/>
      <c r="D24" s="15"/>
      <c r="E24" s="15"/>
      <c r="F24" s="15"/>
      <c r="G24" s="15"/>
      <c r="H24" s="15"/>
      <c r="I24" s="16" t="s">
        <v>56</v>
      </c>
      <c r="J24" s="17" t="n">
        <f aca="false">SUM(J22:J23)</f>
        <v>1411.62</v>
      </c>
      <c r="K24" s="18"/>
    </row>
    <row r="25" customFormat="false" ht="6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customFormat="false" ht="21.75" hidden="false" customHeight="true" outlineLevel="0" collapsed="false">
      <c r="A26" s="8" t="s">
        <v>57</v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customFormat="false" ht="39.75" hidden="false" customHeight="true" outlineLevel="0" collapsed="false">
      <c r="A27" s="9" t="n">
        <v>3</v>
      </c>
      <c r="B27" s="9" t="n">
        <v>1</v>
      </c>
      <c r="C27" s="9" t="s">
        <v>37</v>
      </c>
      <c r="D27" s="10" t="s">
        <v>58</v>
      </c>
      <c r="E27" s="9" t="s">
        <v>59</v>
      </c>
      <c r="F27" s="10" t="s">
        <v>49</v>
      </c>
      <c r="G27" s="9" t="s">
        <v>60</v>
      </c>
      <c r="H27" s="9" t="s">
        <v>61</v>
      </c>
      <c r="I27" s="11" t="n">
        <v>4129.85</v>
      </c>
      <c r="J27" s="11" t="n">
        <f aca="false">B27*I27</f>
        <v>4129.85</v>
      </c>
      <c r="K27" s="10" t="s">
        <v>52</v>
      </c>
    </row>
    <row r="28" customFormat="false" ht="19.5" hidden="false" customHeight="true" outlineLevel="0" collapsed="false">
      <c r="A28" s="15" t="s">
        <v>62</v>
      </c>
      <c r="B28" s="15"/>
      <c r="C28" s="15"/>
      <c r="D28" s="15"/>
      <c r="E28" s="15"/>
      <c r="F28" s="15"/>
      <c r="G28" s="15"/>
      <c r="H28" s="15"/>
      <c r="I28" s="16" t="s">
        <v>56</v>
      </c>
      <c r="J28" s="17" t="n">
        <f aca="false">SUM(J27:J27)</f>
        <v>4129.85</v>
      </c>
      <c r="K28" s="18"/>
    </row>
    <row r="29" customFormat="false" ht="6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customFormat="false" ht="21.75" hidden="false" customHeight="true" outlineLevel="0" collapsed="false">
      <c r="A30" s="8" t="s">
        <v>63</v>
      </c>
      <c r="B30" s="8"/>
      <c r="C30" s="8"/>
      <c r="D30" s="8"/>
      <c r="E30" s="8"/>
      <c r="F30" s="8"/>
      <c r="G30" s="8"/>
      <c r="H30" s="8"/>
      <c r="I30" s="8"/>
      <c r="J30" s="8"/>
      <c r="K30" s="8"/>
    </row>
    <row r="31" customFormat="false" ht="39.75" hidden="false" customHeight="true" outlineLevel="0" collapsed="false">
      <c r="A31" s="9" t="n">
        <v>4</v>
      </c>
      <c r="B31" s="9" t="n">
        <v>1</v>
      </c>
      <c r="C31" s="9" t="s">
        <v>37</v>
      </c>
      <c r="D31" s="10" t="s">
        <v>47</v>
      </c>
      <c r="E31" s="9" t="s">
        <v>48</v>
      </c>
      <c r="F31" s="10" t="s">
        <v>49</v>
      </c>
      <c r="G31" s="9" t="s">
        <v>64</v>
      </c>
      <c r="H31" s="9" t="s">
        <v>64</v>
      </c>
      <c r="I31" s="11" t="n">
        <v>369.27</v>
      </c>
      <c r="J31" s="11" t="n">
        <f aca="false">B31*I31</f>
        <v>369.27</v>
      </c>
      <c r="K31" s="10" t="s">
        <v>52</v>
      </c>
    </row>
    <row r="32" customFormat="false" ht="19.5" hidden="false" customHeight="true" outlineLevel="0" collapsed="false">
      <c r="A32" s="15" t="s">
        <v>65</v>
      </c>
      <c r="B32" s="15"/>
      <c r="C32" s="15"/>
      <c r="D32" s="15"/>
      <c r="E32" s="15"/>
      <c r="F32" s="15"/>
      <c r="G32" s="15"/>
      <c r="H32" s="15"/>
      <c r="I32" s="16" t="s">
        <v>56</v>
      </c>
      <c r="J32" s="17" t="n">
        <f aca="false">SUM(J31:J31)</f>
        <v>369.27</v>
      </c>
      <c r="K32" s="18"/>
    </row>
    <row r="33" customFormat="false" ht="6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9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25.5" hidden="false" customHeight="true" outlineLevel="0" collapsed="false">
      <c r="A35" s="19" t="s">
        <v>66</v>
      </c>
      <c r="B35" s="19"/>
      <c r="C35" s="19"/>
      <c r="D35" s="19"/>
      <c r="E35" s="19"/>
      <c r="F35" s="19"/>
      <c r="G35" s="19"/>
      <c r="H35" s="19"/>
      <c r="I35" s="19"/>
      <c r="J35" s="20" t="n">
        <f aca="false">J24+J28+J32</f>
        <v>5910.74</v>
      </c>
      <c r="K35" s="21"/>
    </row>
    <row r="36" customFormat="false" ht="25.5" hidden="false" customHeight="true" outlineLevel="0" collapsed="false">
      <c r="A36" s="22" t="s">
        <v>67</v>
      </c>
      <c r="B36" s="22"/>
      <c r="C36" s="22"/>
      <c r="D36" s="22"/>
      <c r="E36" s="22"/>
      <c r="F36" s="22"/>
      <c r="G36" s="22"/>
      <c r="H36" s="22"/>
      <c r="I36" s="22"/>
      <c r="J36" s="23" t="n">
        <f aca="false">-J35*0.1</f>
        <v>-591.074</v>
      </c>
      <c r="K36" s="18"/>
    </row>
    <row r="37" customFormat="false" ht="27.75" hidden="false" customHeight="true" outlineLevel="0" collapsed="false">
      <c r="A37" s="24" t="s">
        <v>68</v>
      </c>
      <c r="B37" s="24"/>
      <c r="C37" s="24"/>
      <c r="D37" s="24"/>
      <c r="E37" s="24"/>
      <c r="F37" s="24"/>
      <c r="G37" s="24"/>
      <c r="H37" s="24"/>
      <c r="I37" s="24"/>
      <c r="J37" s="25" t="n">
        <f aca="false">J35+J36</f>
        <v>5319.666</v>
      </c>
      <c r="K37" s="26"/>
    </row>
    <row r="38" customFormat="false" ht="7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.75" hidden="false" customHeight="true" outlineLevel="0" collapsed="false">
      <c r="A39" s="27" t="s">
        <v>69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</row>
  </sheetData>
  <mergeCells count="41">
    <mergeCell ref="A1:K1"/>
    <mergeCell ref="A2:K2"/>
    <mergeCell ref="A3:K3"/>
    <mergeCell ref="B4:K4"/>
    <mergeCell ref="B5:K5"/>
    <mergeCell ref="B6:K6"/>
    <mergeCell ref="B7:K7"/>
    <mergeCell ref="A8:K8"/>
    <mergeCell ref="A9:K9"/>
    <mergeCell ref="B10:D10"/>
    <mergeCell ref="E10:F10"/>
    <mergeCell ref="G10:K10"/>
    <mergeCell ref="B11:K11"/>
    <mergeCell ref="A12:K12"/>
    <mergeCell ref="A13:K13"/>
    <mergeCell ref="B14:D14"/>
    <mergeCell ref="F14:K14"/>
    <mergeCell ref="B15:D15"/>
    <mergeCell ref="F15:K15"/>
    <mergeCell ref="B16:D16"/>
    <mergeCell ref="F16:K16"/>
    <mergeCell ref="B17:D17"/>
    <mergeCell ref="F17:K17"/>
    <mergeCell ref="B18:D18"/>
    <mergeCell ref="F18:K18"/>
    <mergeCell ref="A19:K19"/>
    <mergeCell ref="A21:K21"/>
    <mergeCell ref="A24:H24"/>
    <mergeCell ref="A25:K25"/>
    <mergeCell ref="A26:K26"/>
    <mergeCell ref="A28:H28"/>
    <mergeCell ref="A29:K29"/>
    <mergeCell ref="A30:K30"/>
    <mergeCell ref="A32:H32"/>
    <mergeCell ref="A33:K33"/>
    <mergeCell ref="A34:K34"/>
    <mergeCell ref="A35:I35"/>
    <mergeCell ref="A36:I36"/>
    <mergeCell ref="A37:I37"/>
    <mergeCell ref="A38:K38"/>
    <mergeCell ref="A39:K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2026-02-20T17:56:04Z</dcterms:created>
  <dc:creator>openpyxl</dc:creator>
  <dc:description/>
  <dc:language>en-US</dc:language>
  <cp:lastModifiedBy/>
  <dcterms:modified xsi:type="dcterms:W3CDTF">2026-02-20T17:56:04Z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